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ore Scorecard" sheetId="2" state="visible" r:id="rId2"/>
    <sheet name="Inventory Optimization" sheetId="3" state="visible" r:id="rId3"/>
    <sheet name="Anomaly Audi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0.0"/>
    <numFmt numFmtId="167" formatCode="+#,##0;-#,##0;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0"/>
    </font>
    <font>
      <name val="Calibri"/>
      <b val="1"/>
      <color rgb="000F172A"/>
      <sz val="15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8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5" fillId="4" borderId="0" applyAlignment="1" pivotButton="0" quotePrefix="0" xfId="0">
      <alignment horizontal="center"/>
    </xf>
    <xf numFmtId="166" fontId="0" fillId="0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CFCE7"/>
          <bgColor rgb="00DCFCE7"/>
        </patternFill>
      </fill>
    </dxf>
    <dxf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&amp; Margin by Category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Summary'!B13</f>
            </strRef>
          </tx>
          <spPr>
            <a:ln>
              <a:prstDash val="solid"/>
            </a:ln>
          </spPr>
          <cat>
            <numRef>
              <f>'Executive Summary'!$A$14:$A$18</f>
            </numRef>
          </cat>
          <val>
            <numRef>
              <f>'Executive Summary'!$B$14:$B$18</f>
            </numRef>
          </val>
        </ser>
        <ser>
          <idx val="1"/>
          <order val="1"/>
          <tx>
            <strRef>
              <f>'Executive Summary'!C13</f>
            </strRef>
          </tx>
          <spPr>
            <a:ln>
              <a:prstDash val="solid"/>
            </a:ln>
          </spPr>
          <cat>
            <numRef>
              <f>'Executive Summary'!$A$14:$A$18</f>
            </numRef>
          </cat>
          <val>
            <numRef>
              <f>'Executive Summary'!$C$14:$C$18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7" customWidth="1" min="2" max="2"/>
    <col width="46" customWidth="1" min="3" max="3"/>
    <col width="22" customWidth="1" min="4" max="4"/>
    <col width="44" customWidth="1" min="5" max="5"/>
    <col width="23" customWidth="1" min="6" max="6"/>
    <col width="33" customWidth="1" min="7" max="7"/>
    <col width="12" customWidth="1" min="8" max="8"/>
    <col width="12" customWidth="1" min="9" max="9"/>
  </cols>
  <sheetData>
    <row r="1">
      <c r="A1" s="1" t="inlineStr">
        <is>
          <t>EXECUTIVE RETAIL SALES &amp; INVENTORY PULSE</t>
        </is>
      </c>
      <c r="E1" s="2" t="n"/>
      <c r="F1" s="2" t="n"/>
      <c r="H1" s="2" t="n"/>
      <c r="I1" s="2" t="n"/>
    </row>
    <row r="2">
      <c r="E2" s="2" t="n"/>
      <c r="F2" s="2" t="n"/>
      <c r="H2" s="2" t="n"/>
      <c r="I2" s="2" t="n"/>
    </row>
    <row r="3">
      <c r="A3" s="3" t="inlineStr">
        <is>
          <t>Generated On: 2026-10-16 09:51 | Multi-Store Performance &amp; 18% Stockout Reduction Scorecard</t>
        </is>
      </c>
      <c r="E3" s="2" t="n"/>
      <c r="F3" s="2" t="n"/>
      <c r="H3" s="2" t="n"/>
      <c r="I3" s="2" t="n"/>
    </row>
    <row r="4">
      <c r="E4" s="2" t="n"/>
      <c r="F4" s="2" t="n"/>
      <c r="H4" s="2" t="n"/>
      <c r="I4" s="2" t="n"/>
    </row>
    <row r="5">
      <c r="A5" s="4" t="inlineStr">
        <is>
          <t>TOTAL GROSS REVENUE
$40,038,776.26</t>
        </is>
      </c>
      <c r="C5" s="4" t="inlineStr">
        <is>
          <t>GROSS PROFIT MARGIN
$21,394,321.26 (53.4%)</t>
        </is>
      </c>
      <c r="E5" s="5" t="inlineStr">
        <is>
          <t>SELL-THROUGH RATE
9.6%</t>
        </is>
      </c>
      <c r="F5" s="2" t="n"/>
      <c r="G5" s="4" t="inlineStr">
        <is>
          <t>INVENTORY TURNOVER
17500.47x</t>
        </is>
      </c>
      <c r="H5" s="2" t="n"/>
      <c r="I5" s="2" t="n"/>
    </row>
    <row r="6">
      <c r="E6" s="2" t="n"/>
      <c r="F6" s="2" t="n"/>
      <c r="H6" s="2" t="n"/>
      <c r="I6" s="2" t="n"/>
    </row>
    <row r="7">
      <c r="E7" s="2" t="n"/>
      <c r="H7" s="2" t="n"/>
      <c r="I7" s="2" t="n"/>
    </row>
    <row r="8">
      <c r="A8" s="4" t="inlineStr">
        <is>
          <t>UNITS SOLD
223,394</t>
        </is>
      </c>
      <c r="C8" s="4" t="inlineStr">
        <is>
          <t>TOTAL TRANSACTIONS
99,159</t>
        </is>
      </c>
      <c r="E8" s="5" t="inlineStr">
        <is>
          <t>STOCKOUT REDUCTION
18.0% Target Achieved</t>
        </is>
      </c>
      <c r="F8" s="6" t="n"/>
      <c r="G8" s="4" t="inlineStr">
        <is>
          <t>RECOVERED REVENUE
$354,722.83</t>
        </is>
      </c>
      <c r="H8" s="2" t="n"/>
      <c r="I8" s="2" t="n"/>
    </row>
    <row r="9">
      <c r="E9" s="7" t="n"/>
      <c r="F9" s="8" t="n"/>
    </row>
    <row r="10"/>
    <row r="11"/>
    <row r="12">
      <c r="A12" s="9" t="inlineStr">
        <is>
          <t>CATEGORY PERFORMANCE BREAKDOWN</t>
        </is>
      </c>
    </row>
    <row r="13">
      <c r="A13" s="10" t="inlineStr">
        <is>
          <t>Category</t>
        </is>
      </c>
      <c r="B13" s="10" t="inlineStr">
        <is>
          <t>Gross Revenue</t>
        </is>
      </c>
      <c r="C13" s="10" t="inlineStr">
        <is>
          <t>Gross Margin $</t>
        </is>
      </c>
      <c r="D13" s="10" t="inlineStr">
        <is>
          <t>Margin %</t>
        </is>
      </c>
      <c r="E13" s="10" t="inlineStr">
        <is>
          <t>Units Sold</t>
        </is>
      </c>
      <c r="F13" s="10" t="inlineStr">
        <is>
          <t>Rev Share %</t>
        </is>
      </c>
    </row>
    <row r="14">
      <c r="A14" s="11" t="inlineStr">
        <is>
          <t>Electronics</t>
        </is>
      </c>
      <c r="B14" s="12" t="n">
        <v>16257145.44</v>
      </c>
      <c r="C14" s="12" t="n">
        <v>7531735.44</v>
      </c>
      <c r="D14" s="13" t="n">
        <v>0.4633</v>
      </c>
      <c r="E14" s="14" t="n">
        <v>48356</v>
      </c>
      <c r="F14" s="13" t="n">
        <v>0.406</v>
      </c>
    </row>
    <row r="15">
      <c r="A15" s="11" t="inlineStr">
        <is>
          <t>Home &amp; Living</t>
        </is>
      </c>
      <c r="B15" s="12" t="n">
        <v>6811317.99</v>
      </c>
      <c r="C15" s="12" t="n">
        <v>3821439.99</v>
      </c>
      <c r="D15" s="13" t="n">
        <v>0.5610000000000001</v>
      </c>
      <c r="E15" s="14" t="n">
        <v>41898</v>
      </c>
      <c r="F15" s="13" t="n">
        <v>0.1701</v>
      </c>
    </row>
    <row r="16">
      <c r="A16" s="11" t="inlineStr">
        <is>
          <t>Luxury &amp; Accessories</t>
        </is>
      </c>
      <c r="B16" s="12" t="n">
        <v>5939507.21</v>
      </c>
      <c r="C16" s="12" t="n">
        <v>3552436.21</v>
      </c>
      <c r="D16" s="13" t="n">
        <v>0.5981000000000001</v>
      </c>
      <c r="E16" s="14" t="n">
        <v>41802</v>
      </c>
      <c r="F16" s="13" t="n">
        <v>0.1483</v>
      </c>
    </row>
    <row r="17">
      <c r="A17" s="11" t="inlineStr">
        <is>
          <t>Footwear</t>
        </is>
      </c>
      <c r="B17" s="12" t="n">
        <v>5810201.87</v>
      </c>
      <c r="C17" s="12" t="n">
        <v>3298317.87</v>
      </c>
      <c r="D17" s="13" t="n">
        <v>0.5677</v>
      </c>
      <c r="E17" s="14" t="n">
        <v>43613</v>
      </c>
      <c r="F17" s="13" t="n">
        <v>0.1451</v>
      </c>
    </row>
    <row r="18">
      <c r="A18" s="11" t="inlineStr">
        <is>
          <t>Apparel</t>
        </is>
      </c>
      <c r="B18" s="12" t="n">
        <v>5220603.75</v>
      </c>
      <c r="C18" s="12" t="n">
        <v>3190391.75</v>
      </c>
      <c r="D18" s="13" t="n">
        <v>0.6111</v>
      </c>
      <c r="E18" s="14" t="n">
        <v>47725</v>
      </c>
      <c r="F18" s="13" t="n">
        <v>0.1304</v>
      </c>
    </row>
    <row r="19">
      <c r="A19" s="9" t="inlineStr">
        <is>
          <t>Total</t>
        </is>
      </c>
      <c r="B19" s="15">
        <f>SUM(B14:B18)</f>
        <v/>
      </c>
      <c r="C19" s="15">
        <f>SUM(C14:C18)</f>
        <v/>
      </c>
      <c r="D19" s="16">
        <f>C19/B19</f>
        <v/>
      </c>
      <c r="E19" s="17">
        <f>SUM(E14:E18)</f>
        <v/>
      </c>
      <c r="F19" s="16">
        <f>SUM(F14:F18)</f>
        <v/>
      </c>
    </row>
  </sheetData>
  <mergeCells count="9">
    <mergeCell ref="C8:D9"/>
    <mergeCell ref="G5:H5"/>
    <mergeCell ref="C5:D6"/>
    <mergeCell ref="A5:B6"/>
    <mergeCell ref="E5:F6"/>
    <mergeCell ref="E8:F9"/>
    <mergeCell ref="A1:H2"/>
    <mergeCell ref="G8:H9"/>
    <mergeCell ref="A8:B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0" customWidth="1" min="3" max="3"/>
    <col width="12" customWidth="1" min="4" max="4"/>
    <col width="19" customWidth="1" min="5" max="5"/>
    <col width="15" customWidth="1" min="6" max="6"/>
    <col width="18" customWidth="1" min="7" max="7"/>
    <col width="16" customWidth="1" min="8" max="8"/>
    <col width="22" customWidth="1" min="9" max="9"/>
    <col width="16" customWidth="1" min="10" max="10"/>
  </cols>
  <sheetData>
    <row r="1">
      <c r="A1" s="1" t="inlineStr">
        <is>
          <t>MULTI-STORE PERFORMANCE &amp; TARGET ATTAINMENT</t>
        </is>
      </c>
    </row>
    <row r="2"/>
    <row r="3"/>
    <row r="4">
      <c r="A4" s="18" t="inlineStr">
        <is>
          <t>Store ID</t>
        </is>
      </c>
      <c r="B4" s="18" t="inlineStr">
        <is>
          <t>Store Name</t>
        </is>
      </c>
      <c r="C4" s="18" t="inlineStr">
        <is>
          <t>Format</t>
        </is>
      </c>
      <c r="D4" s="18" t="inlineStr">
        <is>
          <t>Region</t>
        </is>
      </c>
      <c r="E4" s="18" t="inlineStr">
        <is>
          <t>Target Rev (Mo)</t>
        </is>
      </c>
      <c r="F4" s="18" t="inlineStr">
        <is>
          <t>6-Mo Target</t>
        </is>
      </c>
      <c r="G4" s="18" t="inlineStr">
        <is>
          <t>Actual Revenue</t>
        </is>
      </c>
      <c r="H4" s="18" t="inlineStr">
        <is>
          <t>Attainment %</t>
        </is>
      </c>
      <c r="I4" s="18" t="inlineStr">
        <is>
          <t>Gross Margin %</t>
        </is>
      </c>
      <c r="J4" s="18" t="inlineStr">
        <is>
          <t>Transactions</t>
        </is>
      </c>
    </row>
    <row r="5">
      <c r="A5" s="11" t="inlineStr">
        <is>
          <t>STR-003</t>
        </is>
      </c>
      <c r="B5" s="11" t="inlineStr">
        <is>
          <t>SF Union Square Tech Hub</t>
        </is>
      </c>
      <c r="C5" s="11" t="inlineStr">
        <is>
          <t>Flagship</t>
        </is>
      </c>
      <c r="D5" s="11" t="inlineStr">
        <is>
          <t>West</t>
        </is>
      </c>
      <c r="E5" s="12" t="n">
        <v>420001.87</v>
      </c>
      <c r="F5" s="12">
        <f>E5*6</f>
        <v/>
      </c>
      <c r="G5" s="12" t="n">
        <v>5527140.56</v>
      </c>
      <c r="H5" s="13">
        <f>G5/F5</f>
        <v/>
      </c>
      <c r="I5" s="13" t="n">
        <v>0.5375</v>
      </c>
      <c r="J5" s="14" t="n">
        <v>12272</v>
      </c>
    </row>
    <row r="6">
      <c r="A6" s="11" t="inlineStr">
        <is>
          <t>STR-001</t>
        </is>
      </c>
      <c r="B6" s="11" t="inlineStr">
        <is>
          <t>Manhattan 5th Ave Flagship</t>
        </is>
      </c>
      <c r="C6" s="11" t="inlineStr">
        <is>
          <t>Flagship</t>
        </is>
      </c>
      <c r="D6" s="11" t="inlineStr">
        <is>
          <t>East</t>
        </is>
      </c>
      <c r="E6" s="12" t="n">
        <v>480003.67</v>
      </c>
      <c r="F6" s="12">
        <f>E6*6</f>
        <v/>
      </c>
      <c r="G6" s="12" t="n">
        <v>5465417.78</v>
      </c>
      <c r="H6" s="13">
        <f>G6/F6</f>
        <v/>
      </c>
      <c r="I6" s="13" t="n">
        <v>0.5364</v>
      </c>
      <c r="J6" s="14" t="n">
        <v>12360</v>
      </c>
    </row>
    <row r="7">
      <c r="A7" s="11" t="inlineStr">
        <is>
          <t>STR-008</t>
        </is>
      </c>
      <c r="B7" s="11" t="inlineStr">
        <is>
          <t>Omnichannel Hub &amp; Express</t>
        </is>
      </c>
      <c r="C7" s="11" t="inlineStr">
        <is>
          <t>Distribution Hub</t>
        </is>
      </c>
      <c r="D7" s="11" t="inlineStr">
        <is>
          <t>Midwest</t>
        </is>
      </c>
      <c r="E7" s="12" t="n">
        <v>549992.45</v>
      </c>
      <c r="F7" s="12">
        <f>E7*6</f>
        <v/>
      </c>
      <c r="G7" s="12" t="n">
        <v>5424465.51</v>
      </c>
      <c r="H7" s="13">
        <f>G7/F7</f>
        <v/>
      </c>
      <c r="I7" s="13" t="n">
        <v>0.5367000000000001</v>
      </c>
      <c r="J7" s="14" t="n">
        <v>12296</v>
      </c>
    </row>
    <row r="8">
      <c r="A8" s="11" t="inlineStr">
        <is>
          <t>STR-004</t>
        </is>
      </c>
      <c r="B8" s="11" t="inlineStr">
        <is>
          <t>Austin Domain Town Center</t>
        </is>
      </c>
      <c r="C8" s="11" t="inlineStr">
        <is>
          <t>Suburban</t>
        </is>
      </c>
      <c r="D8" s="11" t="inlineStr">
        <is>
          <t>South</t>
        </is>
      </c>
      <c r="E8" s="12" t="n">
        <v>260002.79</v>
      </c>
      <c r="F8" s="12">
        <f>E8*6</f>
        <v/>
      </c>
      <c r="G8" s="12" t="n">
        <v>4771311.25</v>
      </c>
      <c r="H8" s="13">
        <f>G8/F8</f>
        <v/>
      </c>
      <c r="I8" s="13" t="n">
        <v>0.5335</v>
      </c>
      <c r="J8" s="14" t="n">
        <v>12331</v>
      </c>
    </row>
    <row r="9">
      <c r="A9" s="11" t="inlineStr">
        <is>
          <t>STR-006</t>
        </is>
      </c>
      <c r="B9" s="11" t="inlineStr">
        <is>
          <t>Seattle Pike Place Boutique</t>
        </is>
      </c>
      <c r="C9" s="11" t="inlineStr">
        <is>
          <t>Express</t>
        </is>
      </c>
      <c r="D9" s="11" t="inlineStr">
        <is>
          <t>West</t>
        </is>
      </c>
      <c r="E9" s="12" t="n">
        <v>209997.6</v>
      </c>
      <c r="F9" s="12">
        <f>E9*6</f>
        <v/>
      </c>
      <c r="G9" s="12" t="n">
        <v>4767029.5</v>
      </c>
      <c r="H9" s="13">
        <f>G9/F9</f>
        <v/>
      </c>
      <c r="I9" s="13" t="n">
        <v>0.532</v>
      </c>
      <c r="J9" s="14" t="n">
        <v>12639</v>
      </c>
    </row>
    <row r="10">
      <c r="A10" s="11" t="inlineStr">
        <is>
          <t>STR-005</t>
        </is>
      </c>
      <c r="B10" s="11" t="inlineStr">
        <is>
          <t>Dallas Galleria Megastore</t>
        </is>
      </c>
      <c r="C10" s="11" t="inlineStr">
        <is>
          <t>Mall</t>
        </is>
      </c>
      <c r="D10" s="11" t="inlineStr">
        <is>
          <t>South</t>
        </is>
      </c>
      <c r="E10" s="12" t="n">
        <v>310004.82</v>
      </c>
      <c r="F10" s="12">
        <f>E10*6</f>
        <v/>
      </c>
      <c r="G10" s="12" t="n">
        <v>4707361.14</v>
      </c>
      <c r="H10" s="13">
        <f>G10/F10</f>
        <v/>
      </c>
      <c r="I10" s="13" t="n">
        <v>0.5322</v>
      </c>
      <c r="J10" s="14" t="n">
        <v>12437</v>
      </c>
    </row>
    <row r="11">
      <c r="A11" s="11" t="inlineStr">
        <is>
          <t>STR-007</t>
        </is>
      </c>
      <c r="B11" s="11" t="inlineStr">
        <is>
          <t>Miami Brickell Promenade</t>
        </is>
      </c>
      <c r="C11" s="11" t="inlineStr">
        <is>
          <t>Mall</t>
        </is>
      </c>
      <c r="D11" s="11" t="inlineStr">
        <is>
          <t>East</t>
        </is>
      </c>
      <c r="E11" s="12" t="n">
        <v>289995.51</v>
      </c>
      <c r="F11" s="12">
        <f>E11*6</f>
        <v/>
      </c>
      <c r="G11" s="12" t="n">
        <v>4698275.2</v>
      </c>
      <c r="H11" s="13">
        <f>G11/F11</f>
        <v/>
      </c>
      <c r="I11" s="13" t="n">
        <v>0.5326</v>
      </c>
      <c r="J11" s="14" t="n">
        <v>12336</v>
      </c>
    </row>
    <row r="12">
      <c r="A12" s="11" t="inlineStr">
        <is>
          <t>STR-002</t>
        </is>
      </c>
      <c r="B12" s="11" t="inlineStr">
        <is>
          <t>Chicago Michigan Ave Center</t>
        </is>
      </c>
      <c r="C12" s="11" t="inlineStr">
        <is>
          <t>Downtown</t>
        </is>
      </c>
      <c r="D12" s="11" t="inlineStr">
        <is>
          <t>Midwest</t>
        </is>
      </c>
      <c r="E12" s="12" t="n">
        <v>340004.02</v>
      </c>
      <c r="F12" s="12">
        <f>E12*6</f>
        <v/>
      </c>
      <c r="G12" s="12" t="n">
        <v>4677775.32</v>
      </c>
      <c r="H12" s="13">
        <f>G12/F12</f>
        <v/>
      </c>
      <c r="I12" s="13" t="n">
        <v>0.5326</v>
      </c>
      <c r="J12" s="14" t="n">
        <v>12488</v>
      </c>
    </row>
  </sheetData>
  <mergeCells count="1">
    <mergeCell ref="A1:J2"/>
  </mergeCells>
  <conditionalFormatting sqref="H5:H12">
    <cfRule type="cellIs" priority="1" operator="greaterThanOrEqual" dxfId="0">
      <formula>1.0</formula>
    </cfRule>
    <cfRule type="cellIs" priority="2" operator="between" dxfId="1">
      <formula>0.85</formula>
      <formula>0.999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4" customWidth="1" min="3" max="3"/>
    <col width="20" customWidth="1" min="4" max="4"/>
    <col width="16" customWidth="1" min="5" max="5"/>
    <col width="24" customWidth="1" min="6" max="6"/>
    <col width="24" customWidth="1" min="7" max="7"/>
    <col width="15" customWidth="1" min="8" max="8"/>
    <col width="15" customWidth="1" min="9" max="9"/>
    <col width="14" customWidth="1" min="10" max="10"/>
  </cols>
  <sheetData>
    <row r="1">
      <c r="A1" s="1" t="inlineStr">
        <is>
          <t>INVENTORY OPTIMIZATION &amp; 18% STOCKOUT REDUCTION MATRIX</t>
        </is>
      </c>
    </row>
    <row r="2"/>
    <row r="3"/>
    <row r="4">
      <c r="A4" s="18" t="inlineStr">
        <is>
          <t>Store</t>
        </is>
      </c>
      <c r="B4" s="18" t="inlineStr">
        <is>
          <t>Category</t>
        </is>
      </c>
      <c r="C4" s="18" t="inlineStr">
        <is>
          <t>Product Name</t>
        </is>
      </c>
      <c r="D4" s="18" t="inlineStr">
        <is>
          <t>Lead Time (Days)</t>
        </is>
      </c>
      <c r="E4" s="18" t="inlineStr">
        <is>
          <t>Daily Demand</t>
        </is>
      </c>
      <c r="F4" s="18" t="inlineStr">
        <is>
          <t>Current Safety Stock</t>
        </is>
      </c>
      <c r="G4" s="18" t="inlineStr">
        <is>
          <t>Optimal Safety Stock</t>
        </is>
      </c>
      <c r="H4" s="18" t="inlineStr">
        <is>
          <t>Current ROP</t>
        </is>
      </c>
      <c r="I4" s="18" t="inlineStr">
        <is>
          <t>Optimal ROP</t>
        </is>
      </c>
      <c r="J4" s="18" t="inlineStr">
        <is>
          <t>Buffer Gap</t>
        </is>
      </c>
    </row>
    <row r="5">
      <c r="A5" s="11" t="inlineStr">
        <is>
          <t>SF Union Square Tech Hub</t>
        </is>
      </c>
      <c r="B5" s="11" t="inlineStr">
        <is>
          <t>Footwear</t>
        </is>
      </c>
      <c r="C5" s="11" t="inlineStr">
        <is>
          <t>Minimalist Daily Canvas Sneaker</t>
        </is>
      </c>
      <c r="D5" s="14" t="n">
        <v>7</v>
      </c>
      <c r="E5" s="19" t="n">
        <v>5</v>
      </c>
      <c r="F5" s="14" t="n">
        <v>15</v>
      </c>
      <c r="G5" s="14" t="n">
        <v>22</v>
      </c>
      <c r="H5" s="14" t="n">
        <v>34</v>
      </c>
      <c r="I5" s="14" t="n">
        <v>57</v>
      </c>
      <c r="J5" s="20">
        <f>I5-H5</f>
        <v/>
      </c>
    </row>
    <row r="6">
      <c r="A6" s="11" t="inlineStr">
        <is>
          <t>Manhattan 5th Ave Flagship</t>
        </is>
      </c>
      <c r="B6" s="11" t="inlineStr">
        <is>
          <t>Electronics</t>
        </is>
      </c>
      <c r="C6" s="11" t="inlineStr">
        <is>
          <t>Precision Fitness Smartwatch V3</t>
        </is>
      </c>
      <c r="D6" s="14" t="n">
        <v>7</v>
      </c>
      <c r="E6" s="19" t="n">
        <v>5</v>
      </c>
      <c r="F6" s="14" t="n">
        <v>15</v>
      </c>
      <c r="G6" s="14" t="n">
        <v>20</v>
      </c>
      <c r="H6" s="14" t="n">
        <v>34</v>
      </c>
      <c r="I6" s="14" t="n">
        <v>56</v>
      </c>
      <c r="J6" s="20">
        <f>I6-H6</f>
        <v/>
      </c>
    </row>
    <row r="7">
      <c r="A7" s="11" t="inlineStr">
        <is>
          <t>Omnichannel Hub &amp; Express</t>
        </is>
      </c>
      <c r="B7" s="11" t="inlineStr">
        <is>
          <t>Electronics</t>
        </is>
      </c>
      <c r="C7" s="11" t="inlineStr">
        <is>
          <t>Precision Fitness Smartwatch V3</t>
        </is>
      </c>
      <c r="D7" s="14" t="n">
        <v>7</v>
      </c>
      <c r="E7" s="19" t="n">
        <v>4.7</v>
      </c>
      <c r="F7" s="14" t="n">
        <v>15</v>
      </c>
      <c r="G7" s="14" t="n">
        <v>21</v>
      </c>
      <c r="H7" s="14" t="n">
        <v>34</v>
      </c>
      <c r="I7" s="14" t="n">
        <v>55</v>
      </c>
      <c r="J7" s="20">
        <f>I7-H7</f>
        <v/>
      </c>
    </row>
    <row r="8">
      <c r="A8" s="11" t="inlineStr">
        <is>
          <t>SF Union Square Tech Hub</t>
        </is>
      </c>
      <c r="B8" s="11" t="inlineStr">
        <is>
          <t>Footwear</t>
        </is>
      </c>
      <c r="C8" s="11" t="inlineStr">
        <is>
          <t>High-Traction Hiking Shoe</t>
        </is>
      </c>
      <c r="D8" s="14" t="n">
        <v>10</v>
      </c>
      <c r="E8" s="19" t="n">
        <v>4.8</v>
      </c>
      <c r="F8" s="14" t="n">
        <v>22</v>
      </c>
      <c r="G8" s="14" t="n">
        <v>22</v>
      </c>
      <c r="H8" s="14" t="n">
        <v>50</v>
      </c>
      <c r="I8" s="14" t="n">
        <v>71</v>
      </c>
      <c r="J8" s="20">
        <f>I8-H8</f>
        <v/>
      </c>
    </row>
    <row r="9">
      <c r="A9" s="11" t="inlineStr">
        <is>
          <t>SF Union Square Tech Hub</t>
        </is>
      </c>
      <c r="B9" s="11" t="inlineStr">
        <is>
          <t>Footwear</t>
        </is>
      </c>
      <c r="C9" s="11" t="inlineStr">
        <is>
          <t>Court Classic Tennis Sneaker</t>
        </is>
      </c>
      <c r="D9" s="14" t="n">
        <v>8</v>
      </c>
      <c r="E9" s="19" t="n">
        <v>4.8</v>
      </c>
      <c r="F9" s="14" t="n">
        <v>17</v>
      </c>
      <c r="G9" s="14" t="n">
        <v>21</v>
      </c>
      <c r="H9" s="14" t="n">
        <v>39</v>
      </c>
      <c r="I9" s="14" t="n">
        <v>60</v>
      </c>
      <c r="J9" s="20">
        <f>I9-H9</f>
        <v/>
      </c>
    </row>
    <row r="10">
      <c r="A10" s="11" t="inlineStr">
        <is>
          <t>SF Union Square Tech Hub</t>
        </is>
      </c>
      <c r="B10" s="11" t="inlineStr">
        <is>
          <t>Apparel</t>
        </is>
      </c>
      <c r="C10" s="11" t="inlineStr">
        <is>
          <t>Performance Breathable Polo Shirt</t>
        </is>
      </c>
      <c r="D10" s="14" t="n">
        <v>7</v>
      </c>
      <c r="E10" s="19" t="n">
        <v>4.7</v>
      </c>
      <c r="F10" s="14" t="n">
        <v>15</v>
      </c>
      <c r="G10" s="14" t="n">
        <v>21</v>
      </c>
      <c r="H10" s="14" t="n">
        <v>34</v>
      </c>
      <c r="I10" s="14" t="n">
        <v>55</v>
      </c>
      <c r="J10" s="20">
        <f>I10-H10</f>
        <v/>
      </c>
    </row>
    <row r="11">
      <c r="A11" s="11" t="inlineStr">
        <is>
          <t>SF Union Square Tech Hub</t>
        </is>
      </c>
      <c r="B11" s="11" t="inlineStr">
        <is>
          <t>Home &amp; Living</t>
        </is>
      </c>
      <c r="C11" s="11" t="inlineStr">
        <is>
          <t>Egyptian Long-Staple Sateen Sheet Set</t>
        </is>
      </c>
      <c r="D11" s="14" t="n">
        <v>10</v>
      </c>
      <c r="E11" s="19" t="n">
        <v>4.8</v>
      </c>
      <c r="F11" s="14" t="n">
        <v>22</v>
      </c>
      <c r="G11" s="14" t="n">
        <v>22</v>
      </c>
      <c r="H11" s="14" t="n">
        <v>50</v>
      </c>
      <c r="I11" s="14" t="n">
        <v>71</v>
      </c>
      <c r="J11" s="20">
        <f>I11-H11</f>
        <v/>
      </c>
    </row>
    <row r="12">
      <c r="A12" s="11" t="inlineStr">
        <is>
          <t>Manhattan 5th Ave Flagship</t>
        </is>
      </c>
      <c r="B12" s="11" t="inlineStr">
        <is>
          <t>Luxury &amp; Accessories</t>
        </is>
      </c>
      <c r="C12" s="11" t="inlineStr">
        <is>
          <t>Full-Grain Italian Leather Bifold Wallet</t>
        </is>
      </c>
      <c r="D12" s="14" t="n">
        <v>8</v>
      </c>
      <c r="E12" s="19" t="n">
        <v>4.9</v>
      </c>
      <c r="F12" s="14" t="n">
        <v>17</v>
      </c>
      <c r="G12" s="14" t="n">
        <v>19</v>
      </c>
      <c r="H12" s="14" t="n">
        <v>39</v>
      </c>
      <c r="I12" s="14" t="n">
        <v>59</v>
      </c>
      <c r="J12" s="20">
        <f>I12-H12</f>
        <v/>
      </c>
    </row>
    <row r="13">
      <c r="A13" s="11" t="inlineStr">
        <is>
          <t>SF Union Square Tech Hub</t>
        </is>
      </c>
      <c r="B13" s="11" t="inlineStr">
        <is>
          <t>Electronics</t>
        </is>
      </c>
      <c r="C13" s="11" t="inlineStr">
        <is>
          <t>Noise-Cancelling Pro Headphones</t>
        </is>
      </c>
      <c r="D13" s="14" t="n">
        <v>7</v>
      </c>
      <c r="E13" s="19" t="n">
        <v>4.9</v>
      </c>
      <c r="F13" s="14" t="n">
        <v>15</v>
      </c>
      <c r="G13" s="14" t="n">
        <v>19</v>
      </c>
      <c r="H13" s="14" t="n">
        <v>34</v>
      </c>
      <c r="I13" s="14" t="n">
        <v>54</v>
      </c>
      <c r="J13" s="20">
        <f>I13-H13</f>
        <v/>
      </c>
    </row>
    <row r="14">
      <c r="A14" s="11" t="inlineStr">
        <is>
          <t>Manhattan 5th Ave Flagship</t>
        </is>
      </c>
      <c r="B14" s="11" t="inlineStr">
        <is>
          <t>Electronics</t>
        </is>
      </c>
      <c r="C14" s="11" t="inlineStr">
        <is>
          <t>Noise-Cancelling Pro Headphones</t>
        </is>
      </c>
      <c r="D14" s="14" t="n">
        <v>7</v>
      </c>
      <c r="E14" s="19" t="n">
        <v>4.7</v>
      </c>
      <c r="F14" s="14" t="n">
        <v>15</v>
      </c>
      <c r="G14" s="14" t="n">
        <v>20</v>
      </c>
      <c r="H14" s="14" t="n">
        <v>34</v>
      </c>
      <c r="I14" s="14" t="n">
        <v>54</v>
      </c>
      <c r="J14" s="20">
        <f>I14-H14</f>
        <v/>
      </c>
    </row>
    <row r="15">
      <c r="A15" s="11" t="inlineStr">
        <is>
          <t>SF Union Square Tech Hub</t>
        </is>
      </c>
      <c r="B15" s="11" t="inlineStr">
        <is>
          <t>Electronics</t>
        </is>
      </c>
      <c r="C15" s="11" t="inlineStr">
        <is>
          <t>True Wireless ANC Earbuds</t>
        </is>
      </c>
      <c r="D15" s="14" t="n">
        <v>5</v>
      </c>
      <c r="E15" s="19" t="n">
        <v>5.1</v>
      </c>
      <c r="F15" s="14" t="n">
        <v>11</v>
      </c>
      <c r="G15" s="14" t="n">
        <v>19</v>
      </c>
      <c r="H15" s="14" t="n">
        <v>25</v>
      </c>
      <c r="I15" s="14" t="n">
        <v>45</v>
      </c>
      <c r="J15" s="20">
        <f>I15-H15</f>
        <v/>
      </c>
    </row>
    <row r="16">
      <c r="A16" s="11" t="inlineStr">
        <is>
          <t>SF Union Square Tech Hub</t>
        </is>
      </c>
      <c r="B16" s="11" t="inlineStr">
        <is>
          <t>Luxury &amp; Accessories</t>
        </is>
      </c>
      <c r="C16" s="11" t="inlineStr">
        <is>
          <t>RFID-Blocking Cardholder Slim</t>
        </is>
      </c>
      <c r="D16" s="14" t="n">
        <v>6</v>
      </c>
      <c r="E16" s="19" t="n">
        <v>5</v>
      </c>
      <c r="F16" s="14" t="n">
        <v>13</v>
      </c>
      <c r="G16" s="14" t="n">
        <v>17</v>
      </c>
      <c r="H16" s="14" t="n">
        <v>29</v>
      </c>
      <c r="I16" s="14" t="n">
        <v>48</v>
      </c>
      <c r="J16" s="20">
        <f>I16-H16</f>
        <v/>
      </c>
    </row>
    <row r="17">
      <c r="A17" s="11" t="inlineStr">
        <is>
          <t>SF Union Square Tech Hub</t>
        </is>
      </c>
      <c r="B17" s="11" t="inlineStr">
        <is>
          <t>Luxury &amp; Accessories</t>
        </is>
      </c>
      <c r="C17" s="11" t="inlineStr">
        <is>
          <t>Polarized Aviator Titanium Sunglasses</t>
        </is>
      </c>
      <c r="D17" s="14" t="n">
        <v>7</v>
      </c>
      <c r="E17" s="19" t="n">
        <v>4.7</v>
      </c>
      <c r="F17" s="14" t="n">
        <v>15</v>
      </c>
      <c r="G17" s="14" t="n">
        <v>20</v>
      </c>
      <c r="H17" s="14" t="n">
        <v>34</v>
      </c>
      <c r="I17" s="14" t="n">
        <v>53</v>
      </c>
      <c r="J17" s="20">
        <f>I17-H17</f>
        <v/>
      </c>
    </row>
    <row r="18">
      <c r="A18" s="11" t="inlineStr">
        <is>
          <t>SF Union Square Tech Hub</t>
        </is>
      </c>
      <c r="B18" s="11" t="inlineStr">
        <is>
          <t>Luxury &amp; Accessories</t>
        </is>
      </c>
      <c r="C18" s="11" t="inlineStr">
        <is>
          <t>Full-Grain Italian Leather Bifold Wallet</t>
        </is>
      </c>
      <c r="D18" s="14" t="n">
        <v>8</v>
      </c>
      <c r="E18" s="19" t="n">
        <v>4.6</v>
      </c>
      <c r="F18" s="14" t="n">
        <v>17</v>
      </c>
      <c r="G18" s="14" t="n">
        <v>20</v>
      </c>
      <c r="H18" s="14" t="n">
        <v>39</v>
      </c>
      <c r="I18" s="14" t="n">
        <v>58</v>
      </c>
      <c r="J18" s="20">
        <f>I18-H18</f>
        <v/>
      </c>
    </row>
    <row r="19">
      <c r="A19" s="11" t="inlineStr">
        <is>
          <t>Omnichannel Hub &amp; Express</t>
        </is>
      </c>
      <c r="B19" s="11" t="inlineStr">
        <is>
          <t>Electronics</t>
        </is>
      </c>
      <c r="C19" s="11" t="inlineStr">
        <is>
          <t>Wireless Fast Charging Stand Duo</t>
        </is>
      </c>
      <c r="D19" s="14" t="n">
        <v>5</v>
      </c>
      <c r="E19" s="19" t="n">
        <v>5</v>
      </c>
      <c r="F19" s="14" t="n">
        <v>11</v>
      </c>
      <c r="G19" s="14" t="n">
        <v>18</v>
      </c>
      <c r="H19" s="14" t="n">
        <v>25</v>
      </c>
      <c r="I19" s="14" t="n">
        <v>44</v>
      </c>
      <c r="J19" s="20">
        <f>I19-H19</f>
        <v/>
      </c>
    </row>
    <row r="20">
      <c r="A20" s="11" t="inlineStr">
        <is>
          <t>SF Union Square Tech Hub</t>
        </is>
      </c>
      <c r="B20" s="11" t="inlineStr">
        <is>
          <t>Electronics</t>
        </is>
      </c>
      <c r="C20" s="11" t="inlineStr">
        <is>
          <t>Precision Fitness Smartwatch V3</t>
        </is>
      </c>
      <c r="D20" s="14" t="n">
        <v>7</v>
      </c>
      <c r="E20" s="19" t="n">
        <v>4.8</v>
      </c>
      <c r="F20" s="14" t="n">
        <v>15</v>
      </c>
      <c r="G20" s="14" t="n">
        <v>19</v>
      </c>
      <c r="H20" s="14" t="n">
        <v>34</v>
      </c>
      <c r="I20" s="14" t="n">
        <v>53</v>
      </c>
      <c r="J20" s="20">
        <f>I20-H20</f>
        <v/>
      </c>
    </row>
    <row r="21">
      <c r="A21" s="11" t="inlineStr">
        <is>
          <t>Omnichannel Hub &amp; Express</t>
        </is>
      </c>
      <c r="B21" s="11" t="inlineStr">
        <is>
          <t>Luxury &amp; Accessories</t>
        </is>
      </c>
      <c r="C21" s="11" t="inlineStr">
        <is>
          <t>RFID-Blocking Cardholder Slim</t>
        </is>
      </c>
      <c r="D21" s="14" t="n">
        <v>6</v>
      </c>
      <c r="E21" s="19" t="n">
        <v>4.9</v>
      </c>
      <c r="F21" s="14" t="n">
        <v>13</v>
      </c>
      <c r="G21" s="14" t="n">
        <v>18</v>
      </c>
      <c r="H21" s="14" t="n">
        <v>29</v>
      </c>
      <c r="I21" s="14" t="n">
        <v>48</v>
      </c>
      <c r="J21" s="20">
        <f>I21-H21</f>
        <v/>
      </c>
    </row>
    <row r="22">
      <c r="A22" s="11" t="inlineStr">
        <is>
          <t>SF Union Square Tech Hub</t>
        </is>
      </c>
      <c r="B22" s="11" t="inlineStr">
        <is>
          <t>Apparel</t>
        </is>
      </c>
      <c r="C22" s="11" t="inlineStr">
        <is>
          <t>Selvedge Japanese Denim Jeans</t>
        </is>
      </c>
      <c r="D22" s="14" t="n">
        <v>10</v>
      </c>
      <c r="E22" s="19" t="n">
        <v>4.8</v>
      </c>
      <c r="F22" s="14" t="n">
        <v>22</v>
      </c>
      <c r="G22" s="14" t="n">
        <v>21</v>
      </c>
      <c r="H22" s="14" t="n">
        <v>50</v>
      </c>
      <c r="I22" s="14" t="n">
        <v>69</v>
      </c>
      <c r="J22" s="20">
        <f>I22-H22</f>
        <v/>
      </c>
    </row>
    <row r="23">
      <c r="A23" s="11" t="inlineStr">
        <is>
          <t>Manhattan 5th Ave Flagship</t>
        </is>
      </c>
      <c r="B23" s="11" t="inlineStr">
        <is>
          <t>Electronics</t>
        </is>
      </c>
      <c r="C23" s="11" t="inlineStr">
        <is>
          <t>Smart Home Mesh Wi-Fi 6 Router</t>
        </is>
      </c>
      <c r="D23" s="14" t="n">
        <v>8</v>
      </c>
      <c r="E23" s="19" t="n">
        <v>4.6</v>
      </c>
      <c r="F23" s="14" t="n">
        <v>17</v>
      </c>
      <c r="G23" s="14" t="n">
        <v>21</v>
      </c>
      <c r="H23" s="14" t="n">
        <v>39</v>
      </c>
      <c r="I23" s="14" t="n">
        <v>58</v>
      </c>
      <c r="J23" s="20">
        <f>I23-H23</f>
        <v/>
      </c>
    </row>
    <row r="24">
      <c r="A24" s="11" t="inlineStr">
        <is>
          <t>SF Union Square Tech Hub</t>
        </is>
      </c>
      <c r="B24" s="11" t="inlineStr">
        <is>
          <t>Electronics</t>
        </is>
      </c>
      <c r="C24" s="11" t="inlineStr">
        <is>
          <t>Ergonomic Wireless Mechanical Keyboard</t>
        </is>
      </c>
      <c r="D24" s="14" t="n">
        <v>5</v>
      </c>
      <c r="E24" s="19" t="n">
        <v>5.1</v>
      </c>
      <c r="F24" s="14" t="n">
        <v>11</v>
      </c>
      <c r="G24" s="14" t="n">
        <v>18</v>
      </c>
      <c r="H24" s="14" t="n">
        <v>25</v>
      </c>
      <c r="I24" s="14" t="n">
        <v>44</v>
      </c>
      <c r="J24" s="20">
        <f>I24-H24</f>
        <v/>
      </c>
    </row>
    <row r="25">
      <c r="A25" s="11" t="inlineStr">
        <is>
          <t>Manhattan 5th Ave Flagship</t>
        </is>
      </c>
      <c r="B25" s="11" t="inlineStr">
        <is>
          <t>Electronics</t>
        </is>
      </c>
      <c r="C25" s="11" t="inlineStr">
        <is>
          <t>Ergonomic Wireless Mechanical Keyboard</t>
        </is>
      </c>
      <c r="D25" s="14" t="n">
        <v>5</v>
      </c>
      <c r="E25" s="19" t="n">
        <v>5.2</v>
      </c>
      <c r="F25" s="14" t="n">
        <v>11</v>
      </c>
      <c r="G25" s="14" t="n">
        <v>18</v>
      </c>
      <c r="H25" s="14" t="n">
        <v>25</v>
      </c>
      <c r="I25" s="14" t="n">
        <v>44</v>
      </c>
      <c r="J25" s="20">
        <f>I25-H25</f>
        <v/>
      </c>
    </row>
    <row r="26">
      <c r="A26" s="11" t="inlineStr">
        <is>
          <t>Omnichannel Hub &amp; Express</t>
        </is>
      </c>
      <c r="B26" s="11" t="inlineStr">
        <is>
          <t>Footwear</t>
        </is>
      </c>
      <c r="C26" s="11" t="inlineStr">
        <is>
          <t>Minimalist Daily Canvas Sneaker</t>
        </is>
      </c>
      <c r="D26" s="14" t="n">
        <v>7</v>
      </c>
      <c r="E26" s="19" t="n">
        <v>4.8</v>
      </c>
      <c r="F26" s="14" t="n">
        <v>15</v>
      </c>
      <c r="G26" s="14" t="n">
        <v>18</v>
      </c>
      <c r="H26" s="14" t="n">
        <v>34</v>
      </c>
      <c r="I26" s="14" t="n">
        <v>52</v>
      </c>
      <c r="J26" s="20">
        <f>I26-H26</f>
        <v/>
      </c>
    </row>
    <row r="27">
      <c r="A27" s="11" t="inlineStr">
        <is>
          <t>SF Union Square Tech Hub</t>
        </is>
      </c>
      <c r="B27" s="11" t="inlineStr">
        <is>
          <t>Apparel</t>
        </is>
      </c>
      <c r="C27" s="11" t="inlineStr">
        <is>
          <t>Moisture-Wicking Athletic Joggers</t>
        </is>
      </c>
      <c r="D27" s="14" t="n">
        <v>7</v>
      </c>
      <c r="E27" s="19" t="n">
        <v>4.7</v>
      </c>
      <c r="F27" s="14" t="n">
        <v>15</v>
      </c>
      <c r="G27" s="14" t="n">
        <v>19</v>
      </c>
      <c r="H27" s="14" t="n">
        <v>34</v>
      </c>
      <c r="I27" s="14" t="n">
        <v>52</v>
      </c>
      <c r="J27" s="20">
        <f>I27-H27</f>
        <v/>
      </c>
    </row>
    <row r="28">
      <c r="A28" s="11" t="inlineStr">
        <is>
          <t>Omnichannel Hub &amp; Express</t>
        </is>
      </c>
      <c r="B28" s="11" t="inlineStr">
        <is>
          <t>Electronics</t>
        </is>
      </c>
      <c r="C28" s="11" t="inlineStr">
        <is>
          <t>Smart Home Mesh Wi-Fi 6 Router</t>
        </is>
      </c>
      <c r="D28" s="14" t="n">
        <v>8</v>
      </c>
      <c r="E28" s="19" t="n">
        <v>4.7</v>
      </c>
      <c r="F28" s="14" t="n">
        <v>17</v>
      </c>
      <c r="G28" s="14" t="n">
        <v>19</v>
      </c>
      <c r="H28" s="14" t="n">
        <v>39</v>
      </c>
      <c r="I28" s="14" t="n">
        <v>57</v>
      </c>
      <c r="J28" s="20">
        <f>I28-H28</f>
        <v/>
      </c>
    </row>
    <row r="29">
      <c r="A29" s="11" t="inlineStr">
        <is>
          <t>SF Union Square Tech Hub</t>
        </is>
      </c>
      <c r="B29" s="11" t="inlineStr">
        <is>
          <t>Home &amp; Living</t>
        </is>
      </c>
      <c r="C29" s="11" t="inlineStr">
        <is>
          <t>Stainless Steel Chef Knife 8-inch</t>
        </is>
      </c>
      <c r="D29" s="14" t="n">
        <v>8</v>
      </c>
      <c r="E29" s="19" t="n">
        <v>4.7</v>
      </c>
      <c r="F29" s="14" t="n">
        <v>17</v>
      </c>
      <c r="G29" s="14" t="n">
        <v>19</v>
      </c>
      <c r="H29" s="14" t="n">
        <v>39</v>
      </c>
      <c r="I29" s="14" t="n">
        <v>57</v>
      </c>
      <c r="J29" s="20">
        <f>I29-H29</f>
        <v/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REALTIME ANOMALY AUDIT TRAIL (Z-SCORE &gt;= 2.5)</t>
        </is>
      </c>
    </row>
    <row r="2"/>
    <row r="3"/>
    <row r="4">
      <c r="A4" s="18" t="inlineStr">
        <is>
          <t>Date</t>
        </is>
      </c>
      <c r="B4" s="18" t="inlineStr">
        <is>
          <t>Store</t>
        </is>
      </c>
      <c r="C4" s="18" t="inlineStr">
        <is>
          <t>Category</t>
        </is>
      </c>
      <c r="D4" s="18" t="inlineStr">
        <is>
          <t>Product</t>
        </is>
      </c>
      <c r="E4" s="18" t="inlineStr">
        <is>
          <t>Type</t>
        </is>
      </c>
      <c r="F4" s="18" t="inlineStr">
        <is>
          <t>Observed Units</t>
        </is>
      </c>
      <c r="G4" s="18" t="inlineStr">
        <is>
          <t>Baseline</t>
        </is>
      </c>
      <c r="H4" s="18" t="inlineStr">
        <is>
          <t>Z-Score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2026-10-16T04:21:32Z</dcterms:created>
  <dcterms:modified xsi:type="dcterms:W3CDTF">2026-10-16T04:21:32Z</dcterms:modified>
</cp:coreProperties>
</file>